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0326783-A3A7-4970-95FC-FE208F0513C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ourse" sheetId="2" r:id="rId1"/>
    <sheet name="StdDB" sheetId="1" r:id="rId2"/>
    <sheet name="SaveData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7" i="1" s="1"/>
  <c r="A3" i="1"/>
</calcChain>
</file>

<file path=xl/sharedStrings.xml><?xml version="1.0" encoding="utf-8"?>
<sst xmlns="http://schemas.openxmlformats.org/spreadsheetml/2006/main" count="84" uniqueCount="55">
  <si>
    <t>STUDENT DETAILS DATABASE</t>
  </si>
  <si>
    <t>Student ID</t>
  </si>
  <si>
    <t>Student Name</t>
  </si>
  <si>
    <t>Fathers Name</t>
  </si>
  <si>
    <t>Admission Date</t>
  </si>
  <si>
    <t>Date Of Birth</t>
  </si>
  <si>
    <t>Mobile #</t>
  </si>
  <si>
    <t>Address</t>
  </si>
  <si>
    <t>Duration</t>
  </si>
  <si>
    <t>Program</t>
  </si>
  <si>
    <t>Semester Fee</t>
  </si>
  <si>
    <t>Scholarship</t>
  </si>
  <si>
    <t>NU Email Address</t>
  </si>
  <si>
    <t>Personal Email Address</t>
  </si>
  <si>
    <t>CNIC</t>
  </si>
  <si>
    <t>Fee after scholarship</t>
  </si>
  <si>
    <t>CGPA</t>
  </si>
  <si>
    <t>Semester Credit Hours</t>
  </si>
  <si>
    <t>Batch</t>
  </si>
  <si>
    <t>S no</t>
  </si>
  <si>
    <t>Program Fee</t>
  </si>
  <si>
    <t>Artificial Intelligence</t>
  </si>
  <si>
    <t>Electrical Engineering</t>
  </si>
  <si>
    <t>Business Analytics</t>
  </si>
  <si>
    <t>Computer Science</t>
  </si>
  <si>
    <t>Robotics</t>
  </si>
  <si>
    <t>Software Engineering</t>
  </si>
  <si>
    <t>4 months</t>
  </si>
  <si>
    <t>5 months</t>
  </si>
  <si>
    <t>DOB</t>
  </si>
  <si>
    <t>Personal Email</t>
  </si>
  <si>
    <t xml:space="preserve">NU Email </t>
  </si>
  <si>
    <t>Admission Record</t>
  </si>
  <si>
    <t>LAST Entry ID</t>
  </si>
  <si>
    <t>ararr</t>
  </si>
  <si>
    <t>dfsdfs</t>
  </si>
  <si>
    <t>f sssdyy</t>
  </si>
  <si>
    <t>dfdf@abc.com</t>
  </si>
  <si>
    <t>asdd@gmail.com</t>
  </si>
  <si>
    <t>52236-553-4466</t>
  </si>
  <si>
    <t>addee</t>
  </si>
  <si>
    <t>arree</t>
  </si>
  <si>
    <t>hjgjg</t>
  </si>
  <si>
    <t>ggjh@jjff.com</t>
  </si>
  <si>
    <t>djhdjh@jkff.com</t>
  </si>
  <si>
    <t>23336-8866-56</t>
  </si>
  <si>
    <t>4.5 months</t>
  </si>
  <si>
    <t>arish</t>
  </si>
  <si>
    <t>ssf</t>
  </si>
  <si>
    <t>25-11-2006</t>
  </si>
  <si>
    <t>46546-6688-66</t>
  </si>
  <si>
    <t>thgh</t>
  </si>
  <si>
    <t>jghj@irir.com</t>
  </si>
  <si>
    <t>ekjrr@oto.com</t>
  </si>
  <si>
    <t>2326-12165-23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</si>
</sst>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Arial Black"/>
      <family val="2"/>
    </font>
    <font>
      <b/>
      <sz val="20"/>
      <name val="Arial Rounded MT Bold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5">
    <xf numFmtId="0" fontId="0" fillId="0" borderId="0" xfId="0"/>
    <xf numFmtId="0" fontId="3" fillId="0" borderId="0" xfId="0" applyFont="1"/>
    <xf numFmtId="0" fontId="0" fillId="2" borderId="0" xfId="0" applyFill="1"/>
    <xf numFmtId="0" fontId="0" fillId="3" borderId="0" xfId="0" applyFill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0" fillId="5" borderId="0" xfId="0" applyFill="1" applyAlignment="1">
      <alignment horizontal="center"/>
    </xf>
    <xf numFmtId="15" fontId="3" fillId="0" borderId="1" xfId="0" applyNumberFormat="1" applyFont="1" applyBorder="1" applyAlignment="1">
      <alignment horizontal="center"/>
    </xf>
    <xf numFmtId="0" fontId="7" fillId="0" borderId="1" xfId="2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3" fillId="0" borderId="2" xfId="1" applyFont="1" applyBorder="1" applyAlignment="1">
      <alignment horizontal="center"/>
    </xf>
    <xf numFmtId="44" fontId="3" fillId="0" borderId="1" xfId="1" applyFont="1" applyBorder="1" applyAlignment="1">
      <alignment horizontal="center"/>
    </xf>
    <xf numFmtId="44" fontId="3" fillId="0" borderId="1" xfId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2" fillId="7" borderId="12" xfId="0" applyFont="1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7" borderId="6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263347</xdr:colOff>
      <xdr:row>10</xdr:row>
      <xdr:rowOff>102412</xdr:rowOff>
    </xdr:from>
    <xdr:to>
      <xdr:col>7</xdr:col>
      <xdr:colOff>1389888</xdr:colOff>
      <xdr:row>12</xdr:row>
      <xdr:rowOff>160934</xdr:rowOff>
    </xdr:to>
    <xdr:sp macro="[0]!Macro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3FC9D6-7C7F-8BA8-385A-1078E93BAFCE}"/>
            </a:ext>
          </a:extLst>
        </xdr:cNvPr>
        <xdr:cNvSpPr/>
      </xdr:nvSpPr>
      <xdr:spPr>
        <a:xfrm>
          <a:off x="4476902" y="2282342"/>
          <a:ext cx="3123591" cy="512064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rial Black" panose="020B0A04020102020204" pitchFamily="34" charset="0"/>
            </a:rPr>
            <a:t>SEND &amp;</a:t>
          </a:r>
          <a:r>
            <a:rPr lang="en-US" sz="1400" b="1" baseline="0">
              <a:latin typeface="Arial Black" panose="020B0A04020102020204" pitchFamily="34" charset="0"/>
            </a:rPr>
            <a:t> SAVE</a:t>
          </a:r>
          <a:endParaRPr lang="en-US" sz="1400" b="1"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gjh@jjff.com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asdd@gmail.com" TargetMode="External"/><Relationship Id="rId1" Type="http://schemas.openxmlformats.org/officeDocument/2006/relationships/hyperlink" Target="mailto:dfdf@abc.com" TargetMode="External"/><Relationship Id="rId6" Type="http://schemas.openxmlformats.org/officeDocument/2006/relationships/hyperlink" Target="mailto:ekjrr@oto.com" TargetMode="External"/><Relationship Id="rId5" Type="http://schemas.openxmlformats.org/officeDocument/2006/relationships/hyperlink" Target="mailto:jghj@irir.com" TargetMode="External"/><Relationship Id="rId4" Type="http://schemas.openxmlformats.org/officeDocument/2006/relationships/hyperlink" Target="mailto:djhdjh@jkff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F4293-8DA1-4DC9-AAFC-CECC31B1C0F6}">
  <dimension ref="A1:D7"/>
  <sheetViews>
    <sheetView workbookViewId="0">
      <selection activeCell="D8" sqref="D8"/>
    </sheetView>
  </sheetViews>
  <sheetFormatPr defaultColWidth="8.77734375" defaultRowHeight="18" x14ac:dyDescent="0.35"/>
  <cols>
    <col min="1" max="1" width="8.77734375" style="1"/>
    <col min="2" max="2" width="27.6640625" style="1" customWidth="1"/>
    <col min="3" max="3" width="18.21875" style="1" customWidth="1"/>
    <col min="4" max="4" width="11.88671875" style="1" customWidth="1"/>
    <col min="5" max="16384" width="8.77734375" style="1"/>
  </cols>
  <sheetData>
    <row r="1" spans="1:4" ht="21.6" thickBot="1" x14ac:dyDescent="0.45">
      <c r="A1" s="6" t="s">
        <v>19</v>
      </c>
      <c r="B1" s="7" t="s">
        <v>9</v>
      </c>
      <c r="C1" s="7" t="s">
        <v>20</v>
      </c>
      <c r="D1" s="8" t="s">
        <v>8</v>
      </c>
    </row>
    <row r="2" spans="1:4" x14ac:dyDescent="0.35">
      <c r="A2" s="5">
        <v>1</v>
      </c>
      <c r="B2" s="5" t="s">
        <v>21</v>
      </c>
      <c r="C2" s="16">
        <v>185000</v>
      </c>
      <c r="D2" s="5" t="s">
        <v>27</v>
      </c>
    </row>
    <row r="3" spans="1:4" x14ac:dyDescent="0.35">
      <c r="A3" s="4">
        <v>2</v>
      </c>
      <c r="B3" s="4" t="s">
        <v>22</v>
      </c>
      <c r="C3" s="17">
        <v>190000</v>
      </c>
      <c r="D3" s="4" t="s">
        <v>28</v>
      </c>
    </row>
    <row r="4" spans="1:4" x14ac:dyDescent="0.35">
      <c r="A4" s="4">
        <v>3</v>
      </c>
      <c r="B4" s="4" t="s">
        <v>23</v>
      </c>
      <c r="C4" s="17">
        <v>175000</v>
      </c>
      <c r="D4" s="4" t="s">
        <v>27</v>
      </c>
    </row>
    <row r="5" spans="1:4" x14ac:dyDescent="0.35">
      <c r="A5" s="4">
        <v>4</v>
      </c>
      <c r="B5" s="4" t="s">
        <v>24</v>
      </c>
      <c r="C5" s="17">
        <v>184500</v>
      </c>
      <c r="D5" s="4" t="s">
        <v>27</v>
      </c>
    </row>
    <row r="6" spans="1:4" x14ac:dyDescent="0.35">
      <c r="A6" s="4">
        <v>5</v>
      </c>
      <c r="B6" s="4" t="s">
        <v>25</v>
      </c>
      <c r="C6" s="17">
        <v>192000</v>
      </c>
      <c r="D6" s="4" t="s">
        <v>27</v>
      </c>
    </row>
    <row r="7" spans="1:4" x14ac:dyDescent="0.35">
      <c r="A7" s="4">
        <v>6</v>
      </c>
      <c r="B7" s="4" t="s">
        <v>26</v>
      </c>
      <c r="C7" s="17">
        <v>210000</v>
      </c>
      <c r="D7" s="4" t="s">
        <v>46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4"/>
  <sheetViews>
    <sheetView showGridLines="0" tabSelected="1" workbookViewId="0">
      <selection activeCell="H6" sqref="H6"/>
    </sheetView>
  </sheetViews>
  <sheetFormatPr defaultRowHeight="14.4" x14ac:dyDescent="0.3"/>
  <cols>
    <col min="1" max="1" width="17.44140625" customWidth="1"/>
    <col min="2" max="2" width="25.21875" customWidth="1"/>
    <col min="3" max="3" width="1.33203125" customWidth="1"/>
    <col min="4" max="4" width="21.21875" customWidth="1"/>
    <col min="5" max="5" width="1.44140625" customWidth="1"/>
    <col min="6" max="6" width="25.44140625" customWidth="1"/>
    <col min="7" max="7" width="1.77734375" customWidth="1"/>
    <col min="8" max="8" width="25.88671875" customWidth="1"/>
    <col min="9" max="9" width="2.44140625" customWidth="1"/>
    <col min="12" max="13" width="8.6640625" customWidth="1"/>
  </cols>
  <sheetData>
    <row r="1" spans="1:8" ht="25.05" customHeight="1" x14ac:dyDescent="0.3">
      <c r="A1" s="25" t="s">
        <v>33</v>
      </c>
      <c r="B1" s="28" t="s">
        <v>0</v>
      </c>
      <c r="C1" s="29"/>
      <c r="D1" s="29"/>
      <c r="E1" s="29"/>
      <c r="F1" s="29"/>
      <c r="G1" s="29"/>
      <c r="H1" s="30"/>
    </row>
    <row r="2" spans="1:8" ht="25.05" customHeight="1" thickBot="1" x14ac:dyDescent="0.35">
      <c r="A2" s="26"/>
      <c r="B2" s="31"/>
      <c r="C2" s="32"/>
      <c r="D2" s="32"/>
      <c r="E2" s="32"/>
      <c r="F2" s="32"/>
      <c r="G2" s="32"/>
      <c r="H2" s="33"/>
    </row>
    <row r="3" spans="1:8" ht="18" x14ac:dyDescent="0.35">
      <c r="A3" s="11">
        <f>COUNT(SaveData!A2:A1048576)</f>
        <v>3</v>
      </c>
      <c r="B3" s="10" t="s">
        <v>1</v>
      </c>
      <c r="C3" s="3"/>
      <c r="D3" s="5"/>
      <c r="E3" s="3"/>
      <c r="F3" s="10" t="s">
        <v>9</v>
      </c>
      <c r="G3" s="3"/>
      <c r="H3" s="14" t="s">
        <v>26</v>
      </c>
    </row>
    <row r="4" spans="1:8" ht="18" x14ac:dyDescent="0.35">
      <c r="A4" s="2"/>
      <c r="B4" s="9" t="s">
        <v>2</v>
      </c>
      <c r="C4" s="3"/>
      <c r="D4" s="4"/>
      <c r="E4" s="3"/>
      <c r="F4" s="9" t="s">
        <v>8</v>
      </c>
      <c r="G4" s="3"/>
      <c r="H4" s="15" t="str">
        <f>IFERROR(VLOOKUP(H3,Course!B1:D7,3,FALSE),"")</f>
        <v>4.5 months</v>
      </c>
    </row>
    <row r="5" spans="1:8" ht="18" x14ac:dyDescent="0.35">
      <c r="A5" s="2"/>
      <c r="B5" s="9" t="s">
        <v>4</v>
      </c>
      <c r="C5" s="3"/>
      <c r="D5" s="12"/>
      <c r="E5" s="3"/>
      <c r="F5" s="9" t="s">
        <v>10</v>
      </c>
      <c r="G5" s="3"/>
      <c r="H5" s="18">
        <f>IFERROR(VLOOKUP(H3,Course!B1:D7,2,FALSE),"")</f>
        <v>210000</v>
      </c>
    </row>
    <row r="6" spans="1:8" ht="18" x14ac:dyDescent="0.35">
      <c r="A6" s="2"/>
      <c r="B6" s="9" t="s">
        <v>3</v>
      </c>
      <c r="C6" s="3"/>
      <c r="D6" s="4"/>
      <c r="E6" s="3"/>
      <c r="F6" s="9" t="s">
        <v>11</v>
      </c>
      <c r="G6" s="3"/>
      <c r="H6" s="19"/>
    </row>
    <row r="7" spans="1:8" ht="18" x14ac:dyDescent="0.35">
      <c r="A7" s="2"/>
      <c r="B7" s="9" t="s">
        <v>5</v>
      </c>
      <c r="C7" s="3"/>
      <c r="D7" s="12"/>
      <c r="E7" s="3"/>
      <c r="F7" s="9" t="s">
        <v>15</v>
      </c>
      <c r="G7" s="3"/>
      <c r="H7" s="20">
        <f>H5-(H6*H5)</f>
        <v>210000</v>
      </c>
    </row>
    <row r="8" spans="1:8" ht="18" x14ac:dyDescent="0.35">
      <c r="A8" s="2"/>
      <c r="B8" s="9" t="s">
        <v>6</v>
      </c>
      <c r="C8" s="3"/>
      <c r="D8" s="4"/>
      <c r="E8" s="3"/>
      <c r="F8" s="9" t="s">
        <v>16</v>
      </c>
      <c r="G8" s="3"/>
      <c r="H8" s="21"/>
    </row>
    <row r="9" spans="1:8" ht="18" x14ac:dyDescent="0.35">
      <c r="A9" s="2"/>
      <c r="B9" s="9" t="s">
        <v>7</v>
      </c>
      <c r="C9" s="3"/>
      <c r="D9" s="4"/>
      <c r="E9" s="3"/>
      <c r="F9" s="9" t="s">
        <v>17</v>
      </c>
      <c r="G9" s="3"/>
      <c r="H9" s="15"/>
    </row>
    <row r="10" spans="1:8" ht="18" x14ac:dyDescent="0.35">
      <c r="A10" s="2"/>
      <c r="B10" s="9" t="s">
        <v>12</v>
      </c>
      <c r="C10" s="3"/>
      <c r="D10" s="13"/>
      <c r="E10" s="3"/>
      <c r="F10" s="9" t="s">
        <v>18</v>
      </c>
      <c r="G10" s="3"/>
      <c r="H10" s="15"/>
    </row>
    <row r="11" spans="1:8" ht="18" x14ac:dyDescent="0.35">
      <c r="A11" s="2"/>
      <c r="B11" s="9" t="s">
        <v>13</v>
      </c>
      <c r="C11" s="3"/>
      <c r="D11" s="13"/>
      <c r="E11" s="3"/>
      <c r="F11" s="27"/>
      <c r="G11" s="27"/>
      <c r="H11" s="27"/>
    </row>
    <row r="12" spans="1:8" ht="18" x14ac:dyDescent="0.35">
      <c r="A12" s="2"/>
      <c r="B12" s="9" t="s">
        <v>14</v>
      </c>
      <c r="C12" s="3"/>
      <c r="D12" s="4"/>
      <c r="E12" s="3"/>
      <c r="F12" s="27"/>
      <c r="G12" s="27"/>
      <c r="H12" s="27"/>
    </row>
    <row r="13" spans="1:8" ht="18" x14ac:dyDescent="0.35">
      <c r="B13" s="1"/>
      <c r="D13" s="1"/>
      <c r="F13" s="27"/>
      <c r="G13" s="27"/>
      <c r="H13" s="27"/>
    </row>
    <row r="14" spans="1:8" ht="18" x14ac:dyDescent="0.35">
      <c r="B14" s="1"/>
    </row>
  </sheetData>
  <mergeCells count="3">
    <mergeCell ref="A1:A2"/>
    <mergeCell ref="F11:H13"/>
    <mergeCell ref="B1:H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D5793F-BF36-4221-8F6F-E69BF29D9323}">
          <x14:formula1>
            <xm:f>Course!$B$2:$B$7</xm:f>
          </x14:formula1>
          <xm:sqref>H3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55FC9-40BD-496C-86EA-255976442790}">
  <dimension ref="A1:R6"/>
  <sheetViews>
    <sheetView topLeftCell="J1" zoomScale="90" zoomScaleNormal="90" workbookViewId="0">
      <selection activeCell="S6" sqref="S6"/>
    </sheetView>
  </sheetViews>
  <sheetFormatPr defaultRowHeight="14.4" x14ac:dyDescent="0.3"/>
  <cols>
    <col min="1" max="1" width="17" customWidth="1"/>
    <col min="2" max="2" width="20.44140625" customWidth="1"/>
    <col min="3" max="3" width="25.21875" customWidth="1"/>
    <col min="4" max="4" width="25.44140625" customWidth="1"/>
    <col min="5" max="5" width="22.6640625" customWidth="1"/>
    <col min="6" max="6" width="18.6640625" customWidth="1"/>
    <col min="7" max="7" width="20.88671875" customWidth="1"/>
    <col min="8" max="8" width="22.33203125" customWidth="1"/>
    <col min="9" max="9" width="23.5546875" customWidth="1"/>
    <col min="10" max="10" width="21.44140625" customWidth="1"/>
    <col min="11" max="11" width="15.44140625" customWidth="1"/>
    <col min="12" max="12" width="12.5546875" customWidth="1"/>
    <col min="13" max="13" width="22" customWidth="1"/>
    <col min="14" max="14" width="19.5546875" customWidth="1"/>
    <col min="15" max="15" width="31" customWidth="1"/>
    <col min="16" max="16" width="14.33203125" customWidth="1"/>
    <col min="17" max="17" width="36.33203125" customWidth="1"/>
    <col min="18" max="18" width="12.88671875" customWidth="1"/>
  </cols>
  <sheetData>
    <row r="1" spans="1:18" ht="30" customHeight="1" thickBot="1" x14ac:dyDescent="0.35">
      <c r="A1" s="34" t="s">
        <v>32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ht="21.6" thickBot="1" x14ac:dyDescent="0.55000000000000004">
      <c r="A2" s="22" t="s">
        <v>1</v>
      </c>
      <c r="B2" s="23" t="s">
        <v>2</v>
      </c>
      <c r="C2" s="23" t="s">
        <v>4</v>
      </c>
      <c r="D2" s="23" t="s">
        <v>3</v>
      </c>
      <c r="E2" s="23" t="s">
        <v>29</v>
      </c>
      <c r="F2" s="23" t="s">
        <v>6</v>
      </c>
      <c r="G2" s="23" t="s">
        <v>7</v>
      </c>
      <c r="H2" s="23" t="s">
        <v>31</v>
      </c>
      <c r="I2" s="23" t="s">
        <v>30</v>
      </c>
      <c r="J2" s="23" t="s">
        <v>14</v>
      </c>
      <c r="K2" s="23" t="s">
        <v>9</v>
      </c>
      <c r="L2" s="23" t="s">
        <v>8</v>
      </c>
      <c r="M2" s="23" t="s">
        <v>10</v>
      </c>
      <c r="N2" s="23" t="s">
        <v>11</v>
      </c>
      <c r="O2" s="23" t="s">
        <v>15</v>
      </c>
      <c r="P2" s="23" t="s">
        <v>16</v>
      </c>
      <c r="Q2" s="23" t="s">
        <v>17</v>
      </c>
      <c r="R2" s="24" t="s">
        <v>18</v>
      </c>
    </row>
    <row r="3" spans="1:18" ht="18" x14ac:dyDescent="0.35">
      <c r="A3" s="5">
        <v>1000</v>
      </c>
      <c r="B3" s="4" t="s">
        <v>34</v>
      </c>
      <c r="C3" s="12">
        <v>45038</v>
      </c>
      <c r="D3" s="4" t="s">
        <v>35</v>
      </c>
      <c r="E3" s="12">
        <v>37250</v>
      </c>
      <c r="F3" s="4">
        <v>2126333</v>
      </c>
      <c r="G3" s="4" t="s">
        <v>36</v>
      </c>
      <c r="H3" s="13" t="s">
        <v>37</v>
      </c>
      <c r="I3" s="13" t="s">
        <v>38</v>
      </c>
      <c r="J3" s="4" t="s">
        <v>39</v>
      </c>
      <c r="K3" t="s">
        <v>22</v>
      </c>
      <c r="L3" t="s">
        <v>28</v>
      </c>
      <c r="M3">
        <v>190000</v>
      </c>
      <c r="N3">
        <v>0.05</v>
      </c>
      <c r="O3">
        <v>180500</v>
      </c>
      <c r="P3">
        <v>2.2999999999999998</v>
      </c>
      <c r="Q3">
        <v>13</v>
      </c>
      <c r="R3">
        <v>2023</v>
      </c>
    </row>
    <row r="4" spans="1:18" ht="18" x14ac:dyDescent="0.35">
      <c r="A4" s="5">
        <v>24</v>
      </c>
      <c r="B4" s="4" t="s">
        <v>40</v>
      </c>
      <c r="C4" s="12">
        <v>36642</v>
      </c>
      <c r="D4" s="4" t="s">
        <v>41</v>
      </c>
      <c r="E4" s="12">
        <v>38377</v>
      </c>
      <c r="F4" s="4">
        <v>89775632</v>
      </c>
      <c r="G4" s="4" t="s">
        <v>42</v>
      </c>
      <c r="H4" s="13" t="s">
        <v>43</v>
      </c>
      <c r="I4" s="13" t="s">
        <v>44</v>
      </c>
      <c r="J4" s="4" t="s">
        <v>45</v>
      </c>
      <c r="K4" t="s">
        <v>22</v>
      </c>
      <c r="L4" t="s">
        <v>28</v>
      </c>
      <c r="M4">
        <v>190000</v>
      </c>
      <c r="N4">
        <v>0.05</v>
      </c>
      <c r="O4">
        <v>180500</v>
      </c>
      <c r="P4">
        <v>2.75</v>
      </c>
      <c r="Q4">
        <v>17</v>
      </c>
      <c r="R4">
        <v>2000</v>
      </c>
    </row>
    <row r="5" spans="1:18" ht="18" x14ac:dyDescent="0.35">
      <c r="A5" s="5">
        <v>3566</v>
      </c>
      <c r="B5" s="4" t="s">
        <v>47</v>
      </c>
      <c r="C5" s="12">
        <v>45192</v>
      </c>
      <c r="D5" s="4" t="s">
        <v>48</v>
      </c>
      <c r="E5" s="12" t="s">
        <v>49</v>
      </c>
      <c r="F5" s="4" t="s">
        <v>50</v>
      </c>
      <c r="G5" s="4" t="s">
        <v>51</v>
      </c>
      <c r="H5" s="13" t="s">
        <v>52</v>
      </c>
      <c r="I5" s="13" t="s">
        <v>53</v>
      </c>
      <c r="J5" s="4" t="s">
        <v>54</v>
      </c>
      <c r="K5" t="s">
        <v>26</v>
      </c>
      <c r="L5" t="s">
        <v>46</v>
      </c>
      <c r="M5">
        <v>210000</v>
      </c>
      <c r="N5">
        <v>0.1</v>
      </c>
      <c r="O5">
        <v>189000</v>
      </c>
      <c r="P5">
        <v>2.3199999999999998</v>
      </c>
      <c r="Q5">
        <v>16</v>
      </c>
      <c r="R5">
        <v>2023</v>
      </c>
    </row>
    <row r="6" spans="1:18" ht="18" x14ac:dyDescent="0.35">
      <c r="A6" s="5"/>
      <c r="B6" s="4"/>
      <c r="C6" s="12"/>
      <c r="D6" s="4"/>
      <c r="E6" s="12"/>
      <c r="F6" s="4"/>
      <c r="G6" s="4"/>
      <c r="H6" s="13"/>
      <c r="I6" s="13"/>
      <c r="J6" s="4"/>
      <c r="K6" t="s">
        <v>26</v>
      </c>
      <c r="L6" t="s">
        <v>46</v>
      </c>
      <c r="M6">
        <v>210000</v>
      </c>
      <c r="O6">
        <v>210000</v>
      </c>
    </row>
  </sheetData>
  <mergeCells count="1">
    <mergeCell ref="A1:R1"/>
  </mergeCells>
  <hyperlinks>
    <hyperlink ref="H3" r:id="rId1" xr:uid="{8C68A98E-7F90-4E07-989E-5EC61F500C2B}"/>
    <hyperlink ref="I3" r:id="rId2" xr:uid="{542EEFE0-8FD1-42CD-819E-5FE34BBD6DA0}"/>
    <hyperlink ref="H4" r:id="rId3" xr:uid="{641B5BE0-A77F-49D3-AD4E-9200A7B10B2E}"/>
    <hyperlink ref="I4" r:id="rId4" xr:uid="{D3989967-DAEE-4B6D-BB64-D5D0F1BB26E0}"/>
    <hyperlink ref="H5" r:id="rId5" xr:uid="{D1759BCC-0E77-45F8-8BBB-30E5BFC346A4}"/>
    <hyperlink ref="I5" r:id="rId6" xr:uid="{1A56D4A1-9DF9-4C65-819E-AC361AC58CBA}"/>
  </hyperlinks>
  <pageMargins left="0.7" right="0.7" top="0.75" bottom="0.75" header="0.3" footer="0.3"/>
  <pageSetup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Course</vt:lpstr>
      <vt:lpstr>StdDB</vt:lpstr>
      <vt:lpstr>SaveData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Aarib Vahidy</dc:creator>
  <cp:lastModifiedBy>M. Arham Hussain Khan</cp:lastModifiedBy>
  <dcterms:created xsi:type="dcterms:W3CDTF">2022-11-12T21:36:26Z</dcterms:created>
  <dcterms:modified xsi:type="dcterms:W3CDTF">2023-01-12T10:26:01Z</dcterms:modified>
</cp:coreProperties>
</file>